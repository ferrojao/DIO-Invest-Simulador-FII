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>
    <definedName name="Aporte">'Página1'!$C$13</definedName>
    <definedName name="Patrimônio">'Página1'!$C$16</definedName>
    <definedName name="Rendimento_Carteira">'Página1'!$F$14</definedName>
    <definedName name="Tx_mensal">'Página1'!$C$15</definedName>
    <definedName name="Qtd_Anos">'Página1'!$C$14</definedName>
  </definedNames>
  <calcPr/>
</workbook>
</file>

<file path=xl/sharedStrings.xml><?xml version="1.0" encoding="utf-8"?>
<sst xmlns="http://schemas.openxmlformats.org/spreadsheetml/2006/main" count="71" uniqueCount="34">
  <si>
    <t>CHAVE</t>
  </si>
  <si>
    <t>PERFIL</t>
  </si>
  <si>
    <t>Tipo de FII</t>
  </si>
  <si>
    <t>%</t>
  </si>
  <si>
    <t>Conservador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</si>
  <si>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</si>
  <si>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</si>
  <si>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</si>
  <si>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</si>
  <si>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</si>
  <si>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</si>
  <si>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</si>
  <si>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</si>
  <si>
    <t>INVESTIMENTO MENSAL</t>
  </si>
  <si>
    <t>CONFIGURAÇÕES</t>
  </si>
  <si>
    <t>Quanto investir por mês ?</t>
  </si>
  <si>
    <t>Salário</t>
  </si>
  <si>
    <t>Por Quantos Anos ?</t>
  </si>
  <si>
    <t>Rendimento Carteira</t>
  </si>
  <si>
    <t>Taxa de Rendimento mensal ?</t>
  </si>
  <si>
    <t>Sugestão de Investimento</t>
  </si>
  <si>
    <t>Patrimônio acumulado ?</t>
  </si>
  <si>
    <t>Dividendos Mensais ?</t>
  </si>
  <si>
    <t>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</si>
  <si>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</si>
  <si>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</si>
  <si>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</si>
  <si>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</si>
  <si>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</si>
  <si>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</si>
  <si>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Valor a ser inverstido por mês</t>
  </si>
  <si>
    <t>Percentual sugerido</t>
  </si>
  <si>
    <t>Valores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</si>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</sst>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0&quot; anos&quot;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/>
    <font>
      <sz val="12.0"/>
      <color rgb="FF000000"/>
      <name val="Segoe UI"/>
    </font>
    <font>
      <sz val="12.0"/>
      <color rgb="FF000000"/>
      <name val="Arial"/>
    </font>
    <font>
      <b/>
      <sz val="12.0"/>
      <color rgb="FF000000"/>
      <name val="Segoe UI"/>
    </font>
    <font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29DE8C"/>
        <bgColor rgb="FF29DE8C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3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ck">
        <color rgb="FF000000"/>
      </right>
      <bottom style="thin">
        <color rgb="FFB7B7B7"/>
      </bottom>
    </border>
    <border>
      <left style="thick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ck">
        <color rgb="FF000000"/>
      </right>
      <top style="thin">
        <color rgb="FFB7B7B7"/>
      </top>
      <bottom style="thin">
        <color rgb="FFB7B7B7"/>
      </bottom>
    </border>
    <border>
      <left style="thick">
        <color rgb="FF000000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ck">
        <color rgb="FF000000"/>
      </right>
      <top style="thin">
        <color rgb="FFB7B7B7"/>
      </top>
    </border>
    <border>
      <left style="thick">
        <color rgb="FF000000"/>
      </left>
      <right style="thin">
        <color rgb="FFB7B7B7"/>
      </right>
      <top style="thick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ck">
        <color rgb="FF000000"/>
      </top>
      <bottom style="thin">
        <color rgb="FFB7B7B7"/>
      </bottom>
    </border>
    <border>
      <left style="thin">
        <color rgb="FFB7B7B7"/>
      </left>
      <right style="thick">
        <color rgb="FF000000"/>
      </right>
      <top style="thick">
        <color rgb="FF000000"/>
      </top>
      <bottom style="thin">
        <color rgb="FFB7B7B7"/>
      </bottom>
    </border>
    <border>
      <left style="thick">
        <color rgb="FF000000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right style="thick">
        <color rgb="FF000000"/>
      </right>
      <top style="thin">
        <color rgb="FFB7B7B7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2" fillId="3" fontId="1" numFmtId="0" xfId="0" applyBorder="1" applyFill="1" applyFont="1"/>
    <xf borderId="3" fillId="3" fontId="1" numFmtId="0" xfId="0" applyAlignment="1" applyBorder="1" applyFill="1" applyFont="1">
      <alignment horizontal="center" readingOrder="0"/>
    </xf>
    <xf borderId="3" fillId="4" fontId="1" numFmtId="0" xfId="0" applyAlignment="1" applyBorder="1" applyFill="1" applyFont="1">
      <alignment horizontal="center" readingOrder="0"/>
    </xf>
    <xf borderId="4" fillId="3" fontId="1" numFmtId="9" xfId="0" applyAlignment="1" applyBorder="1" applyFill="1" applyFont="1" applyNumberFormat="1">
      <alignment horizontal="center" readingOrder="0"/>
    </xf>
    <xf borderId="5" fillId="3" fontId="1" numFmtId="0" xfId="0" applyBorder="1" applyFill="1" applyFont="1"/>
    <xf borderId="6" fillId="3" fontId="1" numFmtId="0" xfId="0" applyAlignment="1" applyBorder="1" applyFill="1" applyFont="1">
      <alignment horizontal="center" readingOrder="0"/>
    </xf>
    <xf borderId="6" fillId="4" fontId="1" numFmtId="0" xfId="0" applyAlignment="1" applyBorder="1" applyFill="1" applyFont="1">
      <alignment horizontal="center" readingOrder="0"/>
    </xf>
    <xf borderId="7" fillId="3" fontId="1" numFmtId="9" xfId="0" applyAlignment="1" applyBorder="1" applyFill="1" applyFont="1" applyNumberFormat="1">
      <alignment horizontal="center" readingOrder="0"/>
    </xf>
    <xf borderId="0" fillId="0" fontId="1" numFmtId="0" xfId="0" applyFont="1"/>
    <xf borderId="0" fillId="0" fontId="1" numFmtId="9" xfId="0" applyFont="1" applyNumberFormat="1"/>
    <xf borderId="8" fillId="3" fontId="1" numFmtId="0" xfId="0" applyBorder="1" applyFill="1" applyFont="1"/>
    <xf borderId="9" fillId="3" fontId="1" numFmtId="0" xfId="0" applyAlignment="1" applyBorder="1" applyFill="1" applyFont="1">
      <alignment horizontal="center" readingOrder="0"/>
    </xf>
    <xf borderId="9" fillId="4" fontId="1" numFmtId="0" xfId="0" applyAlignment="1" applyBorder="1" applyFill="1" applyFont="1">
      <alignment horizontal="center" readingOrder="0"/>
    </xf>
    <xf borderId="10" fillId="3" fontId="1" numFmtId="9" xfId="0" applyAlignment="1" applyBorder="1" applyFill="1" applyFont="1" applyNumberFormat="1">
      <alignment horizontal="center" readingOrder="0"/>
    </xf>
    <xf borderId="11" fillId="3" fontId="1" numFmtId="0" xfId="0" applyBorder="1" applyFill="1" applyFont="1"/>
    <xf borderId="12" fillId="3" fontId="1" numFmtId="0" xfId="0" applyAlignment="1" applyBorder="1" applyFill="1" applyFont="1">
      <alignment horizontal="center" readingOrder="0"/>
    </xf>
    <xf borderId="12" fillId="4" fontId="1" numFmtId="0" xfId="0" applyAlignment="1" applyBorder="1" applyFill="1" applyFont="1">
      <alignment horizontal="center" readingOrder="0"/>
    </xf>
    <xf borderId="13" fillId="3" fontId="1" numFmtId="9" xfId="0" applyAlignment="1" applyBorder="1" applyFill="1" applyFont="1" applyNumberFormat="1">
      <alignment horizontal="center" readingOrder="0"/>
    </xf>
    <xf borderId="14" fillId="3" fontId="1" numFmtId="0" xfId="0" applyBorder="1" applyFill="1" applyFont="1"/>
    <xf borderId="15" fillId="3" fontId="1" numFmtId="0" xfId="0" applyAlignment="1" applyBorder="1" applyFill="1" applyFont="1">
      <alignment horizontal="center" readingOrder="0"/>
    </xf>
    <xf borderId="15" fillId="4" fontId="1" numFmtId="0" xfId="0" applyAlignment="1" applyBorder="1" applyFill="1" applyFont="1">
      <alignment horizontal="center" readingOrder="0"/>
    </xf>
    <xf borderId="16" fillId="3" fontId="1" numFmtId="9" xfId="0" applyAlignment="1" applyBorder="1" applyFill="1" applyFont="1" applyNumberFormat="1">
      <alignment horizontal="center" readingOrder="0"/>
    </xf>
    <xf borderId="17" fillId="5" fontId="3" numFmtId="0" xfId="0" applyAlignment="1" applyBorder="1" applyFill="1" applyFont="1">
      <alignment horizontal="center" readingOrder="0"/>
    </xf>
    <xf borderId="18" fillId="0" fontId="4" numFmtId="0" xfId="0" applyBorder="1" applyFont="1"/>
    <xf borderId="19" fillId="6" fontId="3" numFmtId="0" xfId="0" applyAlignment="1" applyBorder="1" applyFill="1" applyFont="1">
      <alignment horizontal="center" readingOrder="0"/>
    </xf>
    <xf borderId="20" fillId="0" fontId="4" numFmtId="0" xfId="0" applyBorder="1" applyFont="1"/>
    <xf borderId="21" fillId="3" fontId="5" numFmtId="0" xfId="0" applyAlignment="1" applyBorder="1" applyFill="1" applyFont="1">
      <alignment horizontal="left" readingOrder="0" shrinkToFit="0" vertical="bottom" wrapText="0"/>
    </xf>
    <xf borderId="22" fillId="3" fontId="6" numFmtId="164" xfId="0" applyAlignment="1" applyBorder="1" applyFill="1" applyFont="1" applyNumberFormat="1">
      <alignment horizontal="center" readingOrder="0" vertical="bottom"/>
    </xf>
    <xf borderId="21" fillId="0" fontId="1" numFmtId="0" xfId="0" applyAlignment="1" applyBorder="1" applyFont="1">
      <alignment readingOrder="0" shrinkToFit="0" wrapText="0"/>
    </xf>
    <xf borderId="22" fillId="0" fontId="1" numFmtId="164" xfId="0" applyAlignment="1" applyBorder="1" applyFont="1" applyNumberFormat="1">
      <alignment horizontal="center" readingOrder="0"/>
    </xf>
    <xf borderId="22" fillId="3" fontId="6" numFmtId="165" xfId="0" applyAlignment="1" applyBorder="1" applyFill="1" applyFont="1" applyNumberFormat="1">
      <alignment horizontal="center" readingOrder="0" vertical="bottom"/>
    </xf>
    <xf borderId="22" fillId="0" fontId="1" numFmtId="9" xfId="0" applyAlignment="1" applyBorder="1" applyFont="1" applyNumberFormat="1">
      <alignment horizontal="center" readingOrder="0"/>
    </xf>
    <xf borderId="22" fillId="3" fontId="6" numFmtId="10" xfId="0" applyAlignment="1" applyBorder="1" applyFill="1" applyFont="1" applyNumberFormat="1">
      <alignment horizontal="center" readingOrder="0" vertical="bottom"/>
    </xf>
    <xf borderId="23" fillId="0" fontId="1" numFmtId="0" xfId="0" applyAlignment="1" applyBorder="1" applyFont="1">
      <alignment readingOrder="0" shrinkToFit="0" wrapText="0"/>
    </xf>
    <xf borderId="24" fillId="0" fontId="1" numFmtId="164" xfId="0" applyAlignment="1" applyBorder="1" applyFont="1" applyNumberFormat="1">
      <alignment horizontal="center"/>
    </xf>
    <xf borderId="21" fillId="4" fontId="7" numFmtId="0" xfId="0" applyAlignment="1" applyBorder="1" applyFill="1" applyFont="1">
      <alignment horizontal="left" readingOrder="0" shrinkToFit="0" vertical="bottom" wrapText="0"/>
    </xf>
    <xf borderId="22" fillId="4" fontId="7" numFmtId="164" xfId="0" applyAlignment="1" applyBorder="1" applyFill="1" applyFont="1" applyNumberFormat="1">
      <alignment horizontal="center" readingOrder="0" vertical="bottom"/>
    </xf>
    <xf borderId="23" fillId="4" fontId="7" numFmtId="0" xfId="0" applyAlignment="1" applyBorder="1" applyFill="1" applyFont="1">
      <alignment horizontal="left" readingOrder="0" shrinkToFit="0" vertical="bottom" wrapText="0"/>
    </xf>
    <xf borderId="24" fillId="4" fontId="7" numFmtId="164" xfId="0" applyAlignment="1" applyBorder="1" applyFill="1" applyFont="1" applyNumberFormat="1">
      <alignment horizontal="center" readingOrder="0" vertical="bottom"/>
    </xf>
    <xf borderId="0" fillId="0" fontId="8" numFmtId="0" xfId="0" applyAlignment="1" applyFont="1">
      <alignment readingOrder="0"/>
    </xf>
    <xf borderId="19" fillId="5" fontId="3" numFmtId="0" xfId="0" applyAlignment="1" applyBorder="1" applyFill="1" applyFont="1">
      <alignment horizontal="center" readingOrder="0"/>
    </xf>
    <xf borderId="25" fillId="0" fontId="4" numFmtId="0" xfId="0" applyBorder="1" applyFont="1"/>
    <xf borderId="26" fillId="5" fontId="3" numFmtId="0" xfId="0" applyAlignment="1" applyBorder="1" applyFill="1" applyFont="1">
      <alignment horizontal="center" readingOrder="0"/>
    </xf>
    <xf borderId="21" fillId="3" fontId="1" numFmtId="0" xfId="0" applyAlignment="1" applyBorder="1" applyFill="1" applyFont="1">
      <alignment readingOrder="0" shrinkToFit="0" wrapText="0"/>
    </xf>
    <xf borderId="27" fillId="3" fontId="1" numFmtId="164" xfId="0" applyBorder="1" applyFill="1" applyFont="1" applyNumberFormat="1"/>
    <xf borderId="22" fillId="3" fontId="1" numFmtId="164" xfId="0" applyBorder="1" applyFill="1" applyFont="1" applyNumberFormat="1"/>
    <xf borderId="23" fillId="3" fontId="1" numFmtId="0" xfId="0" applyAlignment="1" applyBorder="1" applyFill="1" applyFont="1">
      <alignment readingOrder="0" shrinkToFit="0" wrapText="0"/>
    </xf>
    <xf borderId="28" fillId="3" fontId="1" numFmtId="164" xfId="0" applyBorder="1" applyFill="1" applyFont="1" applyNumberFormat="1"/>
    <xf borderId="24" fillId="3" fontId="1" numFmtId="164" xfId="0" applyBorder="1" applyFill="1" applyFont="1" applyNumberFormat="1"/>
    <xf borderId="17" fillId="7" fontId="2" numFmtId="0" xfId="0" applyAlignment="1" applyBorder="1" applyFill="1" applyFont="1">
      <alignment horizontal="center" readingOrder="0"/>
    </xf>
    <xf borderId="29" fillId="7" fontId="1" numFmtId="0" xfId="0" applyAlignment="1" applyBorder="1" applyFill="1" applyFont="1">
      <alignment readingOrder="0"/>
    </xf>
    <xf borderId="30" fillId="3" fontId="1" numFmtId="0" xfId="0" applyAlignment="1" applyBorder="1" applyFill="1" applyFont="1">
      <alignment readingOrder="0"/>
    </xf>
    <xf borderId="0" fillId="3" fontId="1" numFmtId="164" xfId="0" applyAlignment="1" applyFill="1" applyFont="1" applyNumberFormat="1">
      <alignment horizontal="center"/>
    </xf>
    <xf borderId="31" fillId="0" fontId="4" numFmtId="0" xfId="0" applyBorder="1" applyFont="1"/>
    <xf borderId="30" fillId="0" fontId="1" numFmtId="0" xfId="0" applyBorder="1" applyFont="1"/>
    <xf borderId="30" fillId="2" fontId="2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31" fillId="2" fontId="2" numFmtId="0" xfId="0" applyAlignment="1" applyBorder="1" applyFill="1" applyFont="1">
      <alignment horizontal="center" readingOrder="0"/>
    </xf>
    <xf borderId="30" fillId="3" fontId="1" numFmtId="0" xfId="0" applyAlignment="1" applyBorder="1" applyFill="1" applyFont="1">
      <alignment horizontal="center" readingOrder="0"/>
    </xf>
    <xf borderId="0" fillId="3" fontId="1" numFmtId="9" xfId="0" applyAlignment="1" applyFill="1" applyFont="1" applyNumberFormat="1">
      <alignment horizontal="center" readingOrder="0"/>
    </xf>
    <xf borderId="31" fillId="3" fontId="1" numFmtId="164" xfId="0" applyAlignment="1" applyBorder="1" applyFill="1" applyFont="1" applyNumberFormat="1">
      <alignment horizontal="center"/>
    </xf>
    <xf borderId="32" fillId="8" fontId="2" numFmtId="0" xfId="0" applyAlignment="1" applyBorder="1" applyFill="1" applyFont="1">
      <alignment horizontal="center" readingOrder="0"/>
    </xf>
    <xf borderId="33" fillId="0" fontId="4" numFmtId="0" xfId="0" applyBorder="1" applyFont="1"/>
    <xf borderId="34" fillId="8" fontId="2" numFmtId="164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'Página1'!$C$29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'Página1'!$B$30:$B$35</c:f>
            </c:strRef>
          </c:cat>
          <c:val>
            <c:numRef>
              <c:f>'Página1'!$C$30:$C$35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Impac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36</xdr:row>
      <xdr:rowOff>180975</xdr:rowOff>
    </xdr:from>
    <xdr:ext cx="4248150" cy="24288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8039100" cy="19907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29.25"/>
    <col customWidth="1" min="3" max="3" width="27.63"/>
    <col customWidth="1" min="4" max="4" width="12.38"/>
    <col customWidth="1" min="5" max="5" width="20.38"/>
    <col hidden="1" min="7" max="25" width="12.63"/>
  </cols>
  <sheetData>
    <row r="12">
      <c r="B12" s="32" t="s">
        <v>13</v>
      </c>
      <c r="C12" s="33"/>
      <c r="E12" s="34" t="s">
        <v>14</v>
      </c>
      <c r="F12" s="35"/>
    </row>
    <row r="13">
      <c r="B13" s="36" t="s">
        <v>15</v>
      </c>
      <c r="C13" s="37">
        <v>200.0</v>
      </c>
      <c r="E13" s="38" t="s">
        <v>16</v>
      </c>
      <c r="F13" s="39">
        <v>5000.0</v>
      </c>
    </row>
    <row r="14">
      <c r="B14" s="36" t="s">
        <v>17</v>
      </c>
      <c r="C14" s="40">
        <v>5.0</v>
      </c>
      <c r="E14" s="38" t="s">
        <v>18</v>
      </c>
      <c r="F14" s="41">
        <v>0.0089</v>
      </c>
    </row>
    <row r="15">
      <c r="B15" s="36" t="s">
        <v>19</v>
      </c>
      <c r="C15" s="42">
        <v>0.01079</v>
      </c>
      <c r="E15" s="43" t="s">
        <v>20</v>
      </c>
      <c r="F15" s="44">
        <f>F13*30%</f>
        <v>1500</v>
      </c>
    </row>
    <row r="16">
      <c r="B16" s="45" t="s">
        <v>21</v>
      </c>
      <c r="C16" s="46">
        <f>FV(C15,C14*12,C13*-1)</f>
        <v>16755.3828</v>
      </c>
    </row>
    <row r="17">
      <c r="B17" s="47" t="s">
        <v>22</v>
      </c>
      <c r="C17" s="48">
        <f>Patrimônio*$F$14</f>
        <v>149.1229069</v>
      </c>
    </row>
    <row r="19">
      <c r="A19" s="49">
        <v>2.0</v>
      </c>
      <c r="B19" s="50" t="s">
        <v>23</v>
      </c>
      <c r="C19" s="51"/>
      <c r="D19" s="52" t="s">
        <v>24</v>
      </c>
    </row>
    <row r="20">
      <c r="A20" s="49">
        <v>5.0</v>
      </c>
      <c r="B20" s="53" t="s">
        <v>25</v>
      </c>
      <c r="C20" s="54">
        <f t="shared" ref="C20:C24" si="1">FV($C$15,$A19*12,$C$13*-1)</f>
        <v>5445.52546</v>
      </c>
      <c r="D20" s="55">
        <f t="shared" ref="D20:D24" si="2">(C20*$F$14)</f>
        <v>48.46517659</v>
      </c>
    </row>
    <row r="21">
      <c r="A21" s="49">
        <v>10.0</v>
      </c>
      <c r="B21" s="53" t="s">
        <v>26</v>
      </c>
      <c r="C21" s="54">
        <f t="shared" si="1"/>
        <v>16755.3828</v>
      </c>
      <c r="D21" s="55">
        <f t="shared" si="2"/>
        <v>149.1229069</v>
      </c>
    </row>
    <row r="22">
      <c r="A22" s="49">
        <v>20.0</v>
      </c>
      <c r="B22" s="53" t="s">
        <v>27</v>
      </c>
      <c r="C22" s="54">
        <f t="shared" si="1"/>
        <v>48656.84251</v>
      </c>
      <c r="D22" s="55">
        <f t="shared" si="2"/>
        <v>433.0458983</v>
      </c>
    </row>
    <row r="23">
      <c r="A23" s="49">
        <v>30.0</v>
      </c>
      <c r="B23" s="53" t="s">
        <v>28</v>
      </c>
      <c r="C23" s="54">
        <f t="shared" si="1"/>
        <v>225039.68</v>
      </c>
      <c r="D23" s="55">
        <f t="shared" si="2"/>
        <v>2002.853152</v>
      </c>
    </row>
    <row r="24">
      <c r="B24" s="56" t="s">
        <v>29</v>
      </c>
      <c r="C24" s="57">
        <f t="shared" si="1"/>
        <v>864433.931</v>
      </c>
      <c r="D24" s="58">
        <f t="shared" si="2"/>
        <v>7693.461986</v>
      </c>
    </row>
    <row r="26">
      <c r="B26" s="59" t="s">
        <v>1</v>
      </c>
      <c r="C26" s="60" t="s">
        <v>12</v>
      </c>
      <c r="D26" s="33"/>
    </row>
    <row r="27">
      <c r="B27" s="61" t="s">
        <v>30</v>
      </c>
      <c r="C27" s="62">
        <f>C13</f>
        <v>200</v>
      </c>
      <c r="D27" s="63"/>
    </row>
    <row r="28">
      <c r="B28" s="64"/>
      <c r="D28" s="63"/>
    </row>
    <row r="29">
      <c r="B29" s="65" t="s">
        <v>2</v>
      </c>
      <c r="C29" s="66" t="s">
        <v>31</v>
      </c>
      <c r="D29" s="67" t="s">
        <v>32</v>
      </c>
    </row>
    <row r="30">
      <c r="B30" s="68" t="s">
        <v>5</v>
      </c>
      <c r="C30" s="69">
        <f>VLOOKUP($C$26&amp;"-"&amp;B30,'Página2'!$A:$D,4,false)</f>
        <v>0.5</v>
      </c>
      <c r="D30" s="70">
        <f t="shared" ref="D30:D35" si="3">(C30*$C$27)</f>
        <v>100</v>
      </c>
    </row>
    <row r="31">
      <c r="B31" s="68" t="s">
        <v>6</v>
      </c>
      <c r="C31" s="69">
        <f>VLOOKUP($C$26&amp;"-"&amp;B31,'Página2'!$A:$D,4,false)</f>
        <v>0.1</v>
      </c>
      <c r="D31" s="70">
        <f t="shared" si="3"/>
        <v>20</v>
      </c>
    </row>
    <row r="32">
      <c r="B32" s="68" t="s">
        <v>7</v>
      </c>
      <c r="C32" s="69">
        <f>VLOOKUP($C$26&amp;"-"&amp;$B$32,'Página2'!$A:$D,4,false)</f>
        <v>0.05</v>
      </c>
      <c r="D32" s="70">
        <f t="shared" si="3"/>
        <v>10</v>
      </c>
    </row>
    <row r="33">
      <c r="B33" s="68" t="s">
        <v>8</v>
      </c>
      <c r="C33" s="69">
        <f>VLOOKUP($C$26&amp;"-"&amp;$B$33,'Página2'!$A:$D,4,false)</f>
        <v>0.05</v>
      </c>
      <c r="D33" s="70">
        <f t="shared" si="3"/>
        <v>10</v>
      </c>
    </row>
    <row r="34">
      <c r="B34" s="68" t="s">
        <v>9</v>
      </c>
      <c r="C34" s="69">
        <f>VLOOKUP($C$26&amp;"-"&amp;$B$34,'Página2'!$A:$D,4,false)</f>
        <v>0.2</v>
      </c>
      <c r="D34" s="70">
        <f t="shared" si="3"/>
        <v>40</v>
      </c>
    </row>
    <row r="35">
      <c r="B35" s="68" t="s">
        <v>10</v>
      </c>
      <c r="C35" s="69">
        <f>VLOOKUP($C$26&amp;"-"&amp;$B$35,'Página2'!$A:$D,4,false)</f>
        <v>0.1</v>
      </c>
      <c r="D35" s="70">
        <f t="shared" si="3"/>
        <v>20</v>
      </c>
    </row>
    <row r="36">
      <c r="B36" s="71" t="s">
        <v>33</v>
      </c>
      <c r="C36" s="72"/>
      <c r="D36" s="73">
        <f>SUM(D30:D35)</f>
        <v>200</v>
      </c>
    </row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</sheetData>
  <mergeCells count="7">
    <mergeCell ref="B12:C12"/>
    <mergeCell ref="E12:F12"/>
    <mergeCell ref="B19:C19"/>
    <mergeCell ref="C26:D26"/>
    <mergeCell ref="C27:D27"/>
    <mergeCell ref="B28:D28"/>
    <mergeCell ref="B36:C36"/>
  </mergeCells>
  <dataValidations>
    <dataValidation type="list" allowBlank="1" showErrorMessage="1" sqref="C26">
      <formula1>"Conservador,Moderado,Agressivo"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3" max="3" width="17.63"/>
    <col customWidth="1" min="6" max="6" width="14.88"/>
  </cols>
  <sheetData>
    <row r="1">
      <c r="D1" s="1"/>
    </row>
    <row r="2">
      <c r="A2" s="2"/>
      <c r="B2" s="3"/>
      <c r="C2" s="4"/>
      <c r="D2" s="1"/>
    </row>
    <row r="3">
      <c r="A3" s="5" t="s">
        <v>0</v>
      </c>
      <c r="B3" s="6" t="s">
        <v>1</v>
      </c>
      <c r="C3" s="7" t="s">
        <v>2</v>
      </c>
      <c r="D3" s="8" t="s">
        <v>3</v>
      </c>
      <c r="G3" s="9" t="s">
        <v>3</v>
      </c>
    </row>
    <row r="4">
      <c r="A4" s="10" t="str">
        <f t="shared" ref="A4:A21" si="1">B4&amp;"-"&amp;C4</f>
        <v>Conservador-PAPEL</v>
      </c>
      <c r="B4" s="11" t="s">
        <v>4</v>
      </c>
      <c r="C4" s="12" t="s">
        <v>5</v>
      </c>
      <c r="D4" s="13">
        <v>0.3</v>
      </c>
    </row>
    <row r="5">
      <c r="A5" s="14" t="str">
        <f t="shared" si="1"/>
        <v>Conservador-TIJOLO</v>
      </c>
      <c r="B5" s="15" t="s">
        <v>4</v>
      </c>
      <c r="C5" s="16" t="s">
        <v>6</v>
      </c>
      <c r="D5" s="17">
        <v>0.5</v>
      </c>
      <c r="F5" s="18" t="str">
        <f>B11&amp;"-"&amp;C11</f>
        <v>Moderado-TIJOLO</v>
      </c>
      <c r="G5" s="19">
        <f>VLOOKUP(A11,$A:$D,4,FALSE())</f>
        <v>0.35</v>
      </c>
    </row>
    <row r="6">
      <c r="A6" s="14" t="str">
        <f t="shared" si="1"/>
        <v>Conservador-HÍBRIDOS</v>
      </c>
      <c r="B6" s="15" t="s">
        <v>4</v>
      </c>
      <c r="C6" s="16" t="s">
        <v>7</v>
      </c>
      <c r="D6" s="17">
        <v>0.1</v>
      </c>
    </row>
    <row r="7">
      <c r="A7" s="14" t="str">
        <f t="shared" si="1"/>
        <v>Conservador-FOFs</v>
      </c>
      <c r="B7" s="15" t="s">
        <v>4</v>
      </c>
      <c r="C7" s="16" t="s">
        <v>8</v>
      </c>
      <c r="D7" s="17">
        <v>0.1</v>
      </c>
    </row>
    <row r="8">
      <c r="A8" s="14" t="str">
        <f t="shared" si="1"/>
        <v>Conservador-DESENVOLVIMENTO</v>
      </c>
      <c r="B8" s="15" t="s">
        <v>4</v>
      </c>
      <c r="C8" s="16" t="s">
        <v>9</v>
      </c>
      <c r="D8" s="17">
        <v>0.0</v>
      </c>
    </row>
    <row r="9">
      <c r="A9" s="20" t="str">
        <f t="shared" si="1"/>
        <v>Conservador-HOTELARIAS</v>
      </c>
      <c r="B9" s="21" t="s">
        <v>4</v>
      </c>
      <c r="C9" s="22" t="s">
        <v>10</v>
      </c>
      <c r="D9" s="23">
        <v>0.0</v>
      </c>
    </row>
    <row r="10">
      <c r="A10" s="24" t="str">
        <f t="shared" si="1"/>
        <v>Moderado-PAPEL</v>
      </c>
      <c r="B10" s="25" t="s">
        <v>11</v>
      </c>
      <c r="C10" s="26" t="s">
        <v>5</v>
      </c>
      <c r="D10" s="27">
        <v>0.32</v>
      </c>
    </row>
    <row r="11">
      <c r="A11" s="14" t="str">
        <f t="shared" si="1"/>
        <v>Moderado-TIJOLO</v>
      </c>
      <c r="B11" s="15" t="s">
        <v>11</v>
      </c>
      <c r="C11" s="16" t="s">
        <v>6</v>
      </c>
      <c r="D11" s="17">
        <v>0.35</v>
      </c>
    </row>
    <row r="12">
      <c r="A12" s="14" t="str">
        <f t="shared" si="1"/>
        <v>Moderado-HÍBRIDOS</v>
      </c>
      <c r="B12" s="15" t="s">
        <v>11</v>
      </c>
      <c r="C12" s="16" t="s">
        <v>7</v>
      </c>
      <c r="D12" s="17">
        <v>0.08</v>
      </c>
    </row>
    <row r="13">
      <c r="A13" s="14" t="str">
        <f t="shared" si="1"/>
        <v>Moderado-FOFs</v>
      </c>
      <c r="B13" s="15" t="s">
        <v>11</v>
      </c>
      <c r="C13" s="16" t="s">
        <v>8</v>
      </c>
      <c r="D13" s="17">
        <v>0.05</v>
      </c>
    </row>
    <row r="14">
      <c r="A14" s="14" t="str">
        <f t="shared" si="1"/>
        <v>Moderado-DESENVOLVIMENTO</v>
      </c>
      <c r="B14" s="15" t="s">
        <v>11</v>
      </c>
      <c r="C14" s="16" t="s">
        <v>9</v>
      </c>
      <c r="D14" s="17">
        <v>0.1</v>
      </c>
    </row>
    <row r="15">
      <c r="A15" s="28" t="str">
        <f t="shared" si="1"/>
        <v>Moderado-HOTELARIAS</v>
      </c>
      <c r="B15" s="29" t="s">
        <v>11</v>
      </c>
      <c r="C15" s="30" t="s">
        <v>10</v>
      </c>
      <c r="D15" s="31">
        <v>0.1</v>
      </c>
    </row>
    <row r="16">
      <c r="A16" s="10" t="str">
        <f t="shared" si="1"/>
        <v>Agressivo-PAPEL</v>
      </c>
      <c r="B16" s="15" t="s">
        <v>12</v>
      </c>
      <c r="C16" s="12" t="s">
        <v>5</v>
      </c>
      <c r="D16" s="13">
        <v>0.5</v>
      </c>
    </row>
    <row r="17">
      <c r="A17" s="14" t="str">
        <f t="shared" si="1"/>
        <v>Agressivo-TIJOLO</v>
      </c>
      <c r="B17" s="15" t="s">
        <v>12</v>
      </c>
      <c r="C17" s="16" t="s">
        <v>6</v>
      </c>
      <c r="D17" s="17">
        <v>0.1</v>
      </c>
    </row>
    <row r="18">
      <c r="A18" s="14" t="str">
        <f t="shared" si="1"/>
        <v>Agressivo-HÍBRIDOS</v>
      </c>
      <c r="B18" s="15" t="s">
        <v>12</v>
      </c>
      <c r="C18" s="16" t="s">
        <v>7</v>
      </c>
      <c r="D18" s="17">
        <v>0.05</v>
      </c>
    </row>
    <row r="19">
      <c r="A19" s="14" t="str">
        <f t="shared" si="1"/>
        <v>Agressivo-FOFs</v>
      </c>
      <c r="B19" s="15" t="s">
        <v>12</v>
      </c>
      <c r="C19" s="16" t="s">
        <v>8</v>
      </c>
      <c r="D19" s="17">
        <v>0.05</v>
      </c>
    </row>
    <row r="20">
      <c r="A20" s="14" t="str">
        <f t="shared" si="1"/>
        <v>Agressivo-DESENVOLVIMENTO</v>
      </c>
      <c r="B20" s="15" t="s">
        <v>12</v>
      </c>
      <c r="C20" s="16" t="s">
        <v>9</v>
      </c>
      <c r="D20" s="17">
        <v>0.2</v>
      </c>
    </row>
    <row r="21">
      <c r="A21" s="28" t="str">
        <f t="shared" si="1"/>
        <v>Agressivo-HOTELARIAS</v>
      </c>
      <c r="B21" s="29" t="s">
        <v>12</v>
      </c>
      <c r="C21" s="30" t="s">
        <v>10</v>
      </c>
      <c r="D21" s="31">
        <v>0.1</v>
      </c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  <row r="1001">
      <c r="D1001" s="1"/>
    </row>
  </sheetData>
  <drawing r:id="rId1"/>
</worksheet>
</file>